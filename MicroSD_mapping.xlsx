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Distrib\Smartphones\Alcatel\alcatel_4035d_storage_swap\"/>
    </mc:Choice>
  </mc:AlternateContent>
  <xr:revisionPtr revIDLastSave="0" documentId="8_{B4C52B10-DEAA-4748-BBE3-DC8E57654830}" xr6:coauthVersionLast="47" xr6:coauthVersionMax="47" xr10:uidLastSave="{00000000-0000-0000-0000-000000000000}"/>
  <bookViews>
    <workbookView xWindow="-120" yWindow="-120" windowWidth="25440" windowHeight="15390" xr2:uid="{AA2184A8-72C4-4154-AB31-8CE4FF1D9C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17" i="1" l="1"/>
  <c r="G3" i="1" l="1"/>
  <c r="G4" i="1"/>
  <c r="G5" i="1"/>
  <c r="G6" i="1"/>
  <c r="G7" i="1"/>
  <c r="G8" i="1"/>
  <c r="G9" i="1"/>
  <c r="G12" i="1"/>
  <c r="G2" i="1"/>
  <c r="J20" i="1"/>
  <c r="J21" i="1"/>
  <c r="J22" i="1"/>
  <c r="J23" i="1"/>
  <c r="L23" i="1" s="1"/>
  <c r="J24" i="1"/>
  <c r="J25" i="1"/>
  <c r="J19" i="1"/>
  <c r="L19" i="1" s="1"/>
  <c r="J18" i="1"/>
  <c r="L18" i="1" s="1"/>
  <c r="J17" i="1"/>
  <c r="O24" i="1"/>
  <c r="O23" i="1"/>
  <c r="O22" i="1"/>
  <c r="O21" i="1"/>
  <c r="O20" i="1"/>
  <c r="O19" i="1"/>
  <c r="O18" i="1"/>
  <c r="P15" i="1"/>
  <c r="P18" i="1" s="1"/>
  <c r="T18" i="1" s="1"/>
  <c r="S18" i="1" s="1"/>
  <c r="R19" i="1" s="1"/>
  <c r="O17" i="1"/>
  <c r="K19" i="1"/>
  <c r="K20" i="1"/>
  <c r="K21" i="1"/>
  <c r="K22" i="1"/>
  <c r="K23" i="1"/>
  <c r="K24" i="1"/>
  <c r="K25" i="1"/>
  <c r="K18" i="1"/>
  <c r="P24" i="1" l="1"/>
  <c r="T24" i="1" s="1"/>
  <c r="P21" i="1"/>
  <c r="T21" i="1" s="1"/>
  <c r="Q22" i="1"/>
  <c r="P22" i="1"/>
  <c r="T22" i="1" s="1"/>
  <c r="Q25" i="1"/>
  <c r="Q21" i="1"/>
  <c r="P20" i="1"/>
  <c r="T20" i="1" s="1"/>
  <c r="P17" i="1"/>
  <c r="P19" i="1"/>
  <c r="T19" i="1" s="1"/>
  <c r="P23" i="1"/>
  <c r="T23" i="1" s="1"/>
  <c r="Q24" i="1"/>
  <c r="Q18" i="1"/>
  <c r="L24" i="1"/>
  <c r="Q23" i="1"/>
  <c r="Q19" i="1"/>
  <c r="L22" i="1"/>
  <c r="L25" i="1"/>
  <c r="L21" i="1"/>
  <c r="L20" i="1"/>
  <c r="S19" i="1"/>
  <c r="S21" i="1" s="1"/>
  <c r="S22" i="1" s="1"/>
  <c r="S23" i="1" s="1"/>
  <c r="S24" i="1" s="1"/>
  <c r="T25" i="1" l="1"/>
</calcChain>
</file>

<file path=xl/sharedStrings.xml><?xml version="1.0" encoding="utf-8"?>
<sst xmlns="http://schemas.openxmlformats.org/spreadsheetml/2006/main" count="101" uniqueCount="66">
  <si>
    <t>/emmc@usrdata</t>
  </si>
  <si>
    <t>data</t>
  </si>
  <si>
    <t>Mount point</t>
  </si>
  <si>
    <t>/emmc@protect_f</t>
  </si>
  <si>
    <t>/protect_f</t>
  </si>
  <si>
    <t>/protect_s</t>
  </si>
  <si>
    <t>/emmc@protect_s</t>
  </si>
  <si>
    <t>emmc@android</t>
  </si>
  <si>
    <t>/system</t>
  </si>
  <si>
    <t>/emmc@cache</t>
  </si>
  <si>
    <t>/cache</t>
  </si>
  <si>
    <t>/emmc@sec_ro</t>
  </si>
  <si>
    <t>/data/nvram/md/s</t>
  </si>
  <si>
    <t>emmc@mobile_info</t>
  </si>
  <si>
    <t>/mobile_info</t>
  </si>
  <si>
    <t>emmc@custpack</t>
  </si>
  <si>
    <t>/custpack</t>
  </si>
  <si>
    <t>/emmc@custom</t>
  </si>
  <si>
    <t>/custom</t>
  </si>
  <si>
    <t>MTK alias</t>
  </si>
  <si>
    <t>mmcblk0p2</t>
  </si>
  <si>
    <t>mmcblk0p9</t>
  </si>
  <si>
    <t>mmcblk0p3</t>
  </si>
  <si>
    <t>mmcblk0p7</t>
  </si>
  <si>
    <t>mmcblk0p4</t>
  </si>
  <si>
    <t>mmcblk0p6</t>
  </si>
  <si>
    <t>mmcblk0p5</t>
  </si>
  <si>
    <t>mmcblk0p8</t>
  </si>
  <si>
    <t>Размер, Кб</t>
  </si>
  <si>
    <t>нет</t>
  </si>
  <si>
    <t>protect_f</t>
  </si>
  <si>
    <t>Файл прошивки</t>
  </si>
  <si>
    <t>protect_s</t>
  </si>
  <si>
    <t>system.img</t>
  </si>
  <si>
    <t>secro.img</t>
  </si>
  <si>
    <t>mobile_info.img</t>
  </si>
  <si>
    <t>custpack2.img</t>
  </si>
  <si>
    <t>не нашел</t>
  </si>
  <si>
    <t>mmcblk0p1</t>
  </si>
  <si>
    <t>ebr1</t>
  </si>
  <si>
    <t>Linux</t>
  </si>
  <si>
    <t>Extended</t>
  </si>
  <si>
    <t>dev</t>
  </si>
  <si>
    <t>block</t>
  </si>
  <si>
    <t>mmcblk1p1</t>
  </si>
  <si>
    <t>mmcblk1p2</t>
  </si>
  <si>
    <t>mmcblk1p3</t>
  </si>
  <si>
    <t>mmcblk1p4</t>
  </si>
  <si>
    <t>mmcblk1p5</t>
  </si>
  <si>
    <t>mmcblk1p6</t>
  </si>
  <si>
    <t>mmcblk1p7</t>
  </si>
  <si>
    <t>mmcblk1p8</t>
  </si>
  <si>
    <t>mmcblk1p9</t>
  </si>
  <si>
    <t>форматировать</t>
  </si>
  <si>
    <t>Раздел eMMC</t>
  </si>
  <si>
    <t>Раздел флешки</t>
  </si>
  <si>
    <t>Size cyl</t>
  </si>
  <si>
    <t>Size Kb</t>
  </si>
  <si>
    <t>Start cyl</t>
  </si>
  <si>
    <t>End cyl</t>
  </si>
  <si>
    <t>Start sector</t>
  </si>
  <si>
    <t>End sector</t>
  </si>
  <si>
    <t>Size sect</t>
  </si>
  <si>
    <t>делаем в tmpfs</t>
  </si>
  <si>
    <t>не заливал</t>
  </si>
  <si>
    <t>До конца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</si>
</sst>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u/>
      <sz val="11"/>
      <color theme="10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1" fillId="0" borderId="1" xfId="1" applyBorder="1"/>
    <xf numFmtId="0" fontId="0" fillId="0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/emmc@cache" TargetMode="External"/><Relationship Id="rId3" Type="http://schemas.openxmlformats.org/officeDocument/2006/relationships/hyperlink" Target="mailto:/emmc@protect_s" TargetMode="External"/><Relationship Id="rId7" Type="http://schemas.openxmlformats.org/officeDocument/2006/relationships/hyperlink" Target="mailto:emmc@custpack" TargetMode="External"/><Relationship Id="rId2" Type="http://schemas.openxmlformats.org/officeDocument/2006/relationships/hyperlink" Target="mailto:/emmc@protect_f" TargetMode="External"/><Relationship Id="rId1" Type="http://schemas.openxmlformats.org/officeDocument/2006/relationships/hyperlink" Target="mailto:/emmc@usrdata" TargetMode="External"/><Relationship Id="rId6" Type="http://schemas.openxmlformats.org/officeDocument/2006/relationships/hyperlink" Target="mailto:emmc@mobile_info" TargetMode="External"/><Relationship Id="rId5" Type="http://schemas.openxmlformats.org/officeDocument/2006/relationships/hyperlink" Target="mailto:/emmc@sec_ro" TargetMode="External"/><Relationship Id="rId4" Type="http://schemas.openxmlformats.org/officeDocument/2006/relationships/hyperlink" Target="mailto:emmc@android" TargetMode="External"/><Relationship Id="rId9" Type="http://schemas.openxmlformats.org/officeDocument/2006/relationships/hyperlink" Target="mailto:/emmc@cust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12D76-8719-466E-98A1-3AD2155FDAA6}">
  <dimension ref="A1:U25"/>
  <sheetViews>
    <sheetView tabSelected="1" workbookViewId="0">
      <selection activeCell="A25" sqref="A25"/>
    </sheetView>
  </sheetViews>
  <sheetFormatPr defaultRowHeight="15" x14ac:dyDescent="0.25"/>
  <cols>
    <col min="1" max="2" width="18.85546875" bestFit="1" customWidth="1"/>
    <col min="3" max="3" width="19.85546875" customWidth="1"/>
    <col min="4" max="4" width="15.5703125" customWidth="1"/>
    <col min="5" max="5" width="11.28515625" customWidth="1"/>
    <col min="6" max="6" width="15.5703125" customWidth="1"/>
    <col min="7" max="7" width="15" bestFit="1" customWidth="1"/>
    <col min="8" max="8" width="15.5703125" bestFit="1" customWidth="1"/>
    <col min="9" max="9" width="22.85546875" customWidth="1"/>
  </cols>
  <sheetData>
    <row r="1" spans="1:21" x14ac:dyDescent="0.25">
      <c r="A1" s="1" t="s">
        <v>55</v>
      </c>
      <c r="B1" s="1" t="s">
        <v>19</v>
      </c>
      <c r="C1" s="1" t="s">
        <v>2</v>
      </c>
      <c r="D1" s="1"/>
      <c r="E1" s="1" t="s">
        <v>28</v>
      </c>
      <c r="F1" s="1" t="s">
        <v>54</v>
      </c>
      <c r="G1" s="3" t="s">
        <v>55</v>
      </c>
      <c r="H1" s="1" t="s">
        <v>31</v>
      </c>
    </row>
    <row r="2" spans="1:21" x14ac:dyDescent="0.25">
      <c r="A2" s="1" t="s">
        <v>52</v>
      </c>
      <c r="B2" s="2" t="s">
        <v>0</v>
      </c>
      <c r="C2" s="1" t="s">
        <v>1</v>
      </c>
      <c r="D2" s="1"/>
      <c r="E2" s="1">
        <v>2163200</v>
      </c>
      <c r="F2" s="1" t="s">
        <v>21</v>
      </c>
      <c r="G2" s="1" t="str">
        <f>A2</f>
        <v>mmcblk1p9</v>
      </c>
      <c r="H2" s="1" t="s">
        <v>29</v>
      </c>
    </row>
    <row r="3" spans="1:21" x14ac:dyDescent="0.25">
      <c r="A3" s="1" t="s">
        <v>45</v>
      </c>
      <c r="B3" s="2" t="s">
        <v>3</v>
      </c>
      <c r="C3" s="1" t="s">
        <v>4</v>
      </c>
      <c r="D3" s="1"/>
      <c r="E3" s="1">
        <v>10240</v>
      </c>
      <c r="F3" s="1" t="s">
        <v>20</v>
      </c>
      <c r="G3" s="1" t="str">
        <f t="shared" ref="G3:G12" si="0">A3</f>
        <v>mmcblk1p2</v>
      </c>
      <c r="H3" s="1" t="s">
        <v>30</v>
      </c>
    </row>
    <row r="4" spans="1:21" x14ac:dyDescent="0.25">
      <c r="A4" s="1" t="s">
        <v>46</v>
      </c>
      <c r="B4" s="2" t="s">
        <v>6</v>
      </c>
      <c r="C4" s="1" t="s">
        <v>5</v>
      </c>
      <c r="D4" s="1"/>
      <c r="E4" s="1">
        <v>10240</v>
      </c>
      <c r="F4" s="1" t="s">
        <v>22</v>
      </c>
      <c r="G4" s="1" t="str">
        <f t="shared" si="0"/>
        <v>mmcblk1p3</v>
      </c>
      <c r="H4" s="1" t="s">
        <v>32</v>
      </c>
    </row>
    <row r="5" spans="1:21" x14ac:dyDescent="0.25">
      <c r="A5" s="1" t="s">
        <v>51</v>
      </c>
      <c r="B5" s="2" t="s">
        <v>7</v>
      </c>
      <c r="C5" s="1" t="s">
        <v>8</v>
      </c>
      <c r="D5" s="1"/>
      <c r="E5" s="1">
        <v>532480</v>
      </c>
      <c r="F5" s="1" t="s">
        <v>23</v>
      </c>
      <c r="G5" s="1" t="str">
        <f t="shared" si="0"/>
        <v>mmcblk1p8</v>
      </c>
      <c r="H5" s="1" t="s">
        <v>33</v>
      </c>
    </row>
    <row r="6" spans="1:21" x14ac:dyDescent="0.25">
      <c r="A6" s="1" t="s">
        <v>48</v>
      </c>
      <c r="B6" s="2" t="s">
        <v>11</v>
      </c>
      <c r="C6" s="1" t="s">
        <v>12</v>
      </c>
      <c r="D6" s="1"/>
      <c r="E6" s="1">
        <v>6144</v>
      </c>
      <c r="F6" s="1" t="s">
        <v>24</v>
      </c>
      <c r="G6" s="1" t="str">
        <f t="shared" si="0"/>
        <v>mmcblk1p5</v>
      </c>
      <c r="H6" s="1" t="s">
        <v>34</v>
      </c>
    </row>
    <row r="7" spans="1:21" x14ac:dyDescent="0.25">
      <c r="A7" s="1" t="s">
        <v>50</v>
      </c>
      <c r="B7" s="2" t="s">
        <v>13</v>
      </c>
      <c r="C7" s="1" t="s">
        <v>14</v>
      </c>
      <c r="D7" s="1"/>
      <c r="E7" s="1">
        <v>8192</v>
      </c>
      <c r="F7" s="1" t="s">
        <v>25</v>
      </c>
      <c r="G7" s="1" t="str">
        <f t="shared" si="0"/>
        <v>mmcblk1p7</v>
      </c>
      <c r="H7" s="1" t="s">
        <v>35</v>
      </c>
    </row>
    <row r="8" spans="1:21" x14ac:dyDescent="0.25">
      <c r="A8" s="1" t="s">
        <v>49</v>
      </c>
      <c r="B8" s="2" t="s">
        <v>15</v>
      </c>
      <c r="C8" s="1" t="s">
        <v>16</v>
      </c>
      <c r="D8" s="1"/>
      <c r="E8" s="1">
        <v>747520</v>
      </c>
      <c r="F8" s="1" t="s">
        <v>26</v>
      </c>
      <c r="G8" s="1" t="str">
        <f t="shared" si="0"/>
        <v>mmcblk1p6</v>
      </c>
      <c r="H8" s="1" t="s">
        <v>36</v>
      </c>
    </row>
    <row r="9" spans="1:21" x14ac:dyDescent="0.25">
      <c r="A9" s="1" t="s">
        <v>63</v>
      </c>
      <c r="B9" s="2" t="s">
        <v>9</v>
      </c>
      <c r="C9" s="1" t="s">
        <v>10</v>
      </c>
      <c r="D9" s="1"/>
      <c r="E9" s="1">
        <v>204800</v>
      </c>
      <c r="F9" s="1" t="s">
        <v>27</v>
      </c>
      <c r="G9" s="1" t="str">
        <f t="shared" si="0"/>
        <v>делаем в tmpfs</v>
      </c>
      <c r="H9" s="1" t="s">
        <v>29</v>
      </c>
    </row>
    <row r="10" spans="1:21" x14ac:dyDescent="0.25">
      <c r="A10" s="1"/>
      <c r="B10" s="2" t="s">
        <v>17</v>
      </c>
      <c r="C10" s="1" t="s">
        <v>18</v>
      </c>
      <c r="D10" s="1"/>
      <c r="E10" s="1"/>
      <c r="F10" s="1"/>
      <c r="G10" s="1"/>
      <c r="H10" s="1" t="s">
        <v>37</v>
      </c>
    </row>
    <row r="11" spans="1:21" x14ac:dyDescent="0.25">
      <c r="A11" s="1"/>
      <c r="B11" s="1"/>
      <c r="C11" s="1"/>
      <c r="D11" s="1"/>
      <c r="E11" s="1"/>
      <c r="F11" s="1"/>
      <c r="G11" s="1"/>
      <c r="H11" s="1"/>
    </row>
    <row r="12" spans="1:21" x14ac:dyDescent="0.25">
      <c r="A12" s="1" t="s">
        <v>44</v>
      </c>
      <c r="B12" s="1"/>
      <c r="C12" s="1"/>
      <c r="D12" s="1"/>
      <c r="E12" s="1">
        <v>0.5</v>
      </c>
      <c r="F12" s="1" t="s">
        <v>38</v>
      </c>
      <c r="G12" s="1" t="str">
        <f t="shared" si="0"/>
        <v>mmcblk1p1</v>
      </c>
      <c r="H12" s="1" t="s">
        <v>39</v>
      </c>
      <c r="I12" t="s">
        <v>64</v>
      </c>
    </row>
    <row r="15" spans="1:21" x14ac:dyDescent="0.25">
      <c r="P15">
        <f>7948206080/1024/242560</f>
        <v>32</v>
      </c>
    </row>
    <row r="16" spans="1:21" x14ac:dyDescent="0.25">
      <c r="M16" t="s">
        <v>58</v>
      </c>
      <c r="N16" t="s">
        <v>59</v>
      </c>
      <c r="O16" t="s">
        <v>56</v>
      </c>
      <c r="P16" t="s">
        <v>57</v>
      </c>
      <c r="R16" t="s">
        <v>60</v>
      </c>
      <c r="S16" t="s">
        <v>61</v>
      </c>
      <c r="T16" t="s">
        <v>62</v>
      </c>
      <c r="U16" t="s">
        <v>57</v>
      </c>
    </row>
    <row r="17" spans="1:20" x14ac:dyDescent="0.25">
      <c r="B17" t="s">
        <v>42</v>
      </c>
      <c r="C17" t="s">
        <v>43</v>
      </c>
      <c r="D17" t="s">
        <v>44</v>
      </c>
      <c r="E17">
        <v>1</v>
      </c>
      <c r="F17">
        <v>320</v>
      </c>
      <c r="G17">
        <v>10232</v>
      </c>
      <c r="H17">
        <v>83</v>
      </c>
      <c r="I17" t="s">
        <v>40</v>
      </c>
      <c r="J17">
        <f>VLOOKUP($D17,$A$2:$E$12,5,)/1024</f>
        <v>4.8828125E-4</v>
      </c>
      <c r="M17">
        <v>1</v>
      </c>
      <c r="N17">
        <v>1</v>
      </c>
      <c r="O17">
        <f>N17-M17+1</f>
        <v>1</v>
      </c>
      <c r="P17">
        <f>$P$15*O17</f>
        <v>32</v>
      </c>
      <c r="R17">
        <v>2048</v>
      </c>
      <c r="S17">
        <v>2048</v>
      </c>
      <c r="T17">
        <f>S17-R17+1</f>
        <v>1</v>
      </c>
    </row>
    <row r="18" spans="1:20" x14ac:dyDescent="0.25">
      <c r="B18" t="s">
        <v>42</v>
      </c>
      <c r="C18" t="s">
        <v>43</v>
      </c>
      <c r="D18" t="s">
        <v>45</v>
      </c>
      <c r="E18">
        <v>321</v>
      </c>
      <c r="F18">
        <v>640</v>
      </c>
      <c r="G18">
        <v>10240</v>
      </c>
      <c r="H18">
        <v>83</v>
      </c>
      <c r="I18" t="s">
        <v>40</v>
      </c>
      <c r="J18">
        <f>VLOOKUP($D18,$A$2:$E$12,5,)</f>
        <v>10240</v>
      </c>
      <c r="K18">
        <f>F18-E18</f>
        <v>319</v>
      </c>
      <c r="L18">
        <f>J18/(F18-E18+1)</f>
        <v>32</v>
      </c>
      <c r="M18">
        <v>2</v>
      </c>
      <c r="N18">
        <v>321</v>
      </c>
      <c r="O18">
        <f>N18-M18+1</f>
        <v>320</v>
      </c>
      <c r="P18">
        <f>$P$15*O18</f>
        <v>10240</v>
      </c>
      <c r="Q18">
        <f>J18/$P$15-1</f>
        <v>319</v>
      </c>
      <c r="R18">
        <v>4096</v>
      </c>
      <c r="S18">
        <f>T18+R18-1</f>
        <v>24575</v>
      </c>
      <c r="T18">
        <f>P18*2</f>
        <v>20480</v>
      </c>
    </row>
    <row r="19" spans="1:20" x14ac:dyDescent="0.25">
      <c r="B19" t="s">
        <v>42</v>
      </c>
      <c r="C19" t="s">
        <v>43</v>
      </c>
      <c r="D19" t="s">
        <v>46</v>
      </c>
      <c r="E19">
        <v>641</v>
      </c>
      <c r="F19">
        <v>832</v>
      </c>
      <c r="G19">
        <v>6144</v>
      </c>
      <c r="H19">
        <v>83</v>
      </c>
      <c r="I19" t="s">
        <v>40</v>
      </c>
      <c r="J19">
        <f t="shared" ref="J19:J26" si="1">VLOOKUP($D19,$A$2:$E$12,5,)</f>
        <v>10240</v>
      </c>
      <c r="K19">
        <f t="shared" ref="K19:K25" si="2">F19-E19</f>
        <v>191</v>
      </c>
      <c r="L19">
        <f t="shared" ref="L19:L25" si="3">J19/(F19-E19+1)</f>
        <v>53.333333333333336</v>
      </c>
      <c r="M19">
        <v>322</v>
      </c>
      <c r="N19">
        <v>641</v>
      </c>
      <c r="O19">
        <f t="shared" ref="O19:O27" si="4">N19-M19+1</f>
        <v>320</v>
      </c>
      <c r="P19">
        <f t="shared" ref="P19:P27" si="5">$P$15*O19</f>
        <v>10240</v>
      </c>
      <c r="Q19">
        <f>J19/$P$15-1</f>
        <v>319</v>
      </c>
      <c r="R19">
        <f>S18+1</f>
        <v>24576</v>
      </c>
      <c r="S19">
        <f t="shared" ref="S19:S26" si="6">T19+R19-1</f>
        <v>45055</v>
      </c>
      <c r="T19">
        <f>P19*2</f>
        <v>20480</v>
      </c>
    </row>
    <row r="20" spans="1:20" x14ac:dyDescent="0.25">
      <c r="B20" t="s">
        <v>42</v>
      </c>
      <c r="C20" t="s">
        <v>43</v>
      </c>
      <c r="D20" t="s">
        <v>47</v>
      </c>
      <c r="E20">
        <v>833</v>
      </c>
      <c r="F20">
        <v>242560</v>
      </c>
      <c r="G20">
        <v>7735296</v>
      </c>
      <c r="H20">
        <v>5</v>
      </c>
      <c r="I20" t="s">
        <v>41</v>
      </c>
      <c r="J20" t="e">
        <f t="shared" si="1"/>
        <v>#N/A</v>
      </c>
      <c r="K20">
        <f t="shared" si="2"/>
        <v>241727</v>
      </c>
      <c r="L20" t="e">
        <f t="shared" si="3"/>
        <v>#N/A</v>
      </c>
      <c r="M20">
        <v>642</v>
      </c>
      <c r="N20">
        <v>242560</v>
      </c>
      <c r="O20">
        <f t="shared" si="4"/>
        <v>241919</v>
      </c>
      <c r="P20">
        <f t="shared" si="5"/>
        <v>7741408</v>
      </c>
      <c r="T20">
        <f t="shared" ref="T20:T27" si="7">P20*2</f>
        <v>15482816</v>
      </c>
    </row>
    <row r="21" spans="1:20" x14ac:dyDescent="0.25">
      <c r="B21" t="s">
        <v>42</v>
      </c>
      <c r="C21" t="s">
        <v>43</v>
      </c>
      <c r="D21" t="s">
        <v>48</v>
      </c>
      <c r="E21">
        <v>833</v>
      </c>
      <c r="F21">
        <v>24224</v>
      </c>
      <c r="G21">
        <v>748536</v>
      </c>
      <c r="H21">
        <v>83</v>
      </c>
      <c r="I21" t="s">
        <v>40</v>
      </c>
      <c r="J21">
        <f t="shared" si="1"/>
        <v>6144</v>
      </c>
      <c r="K21">
        <f t="shared" si="2"/>
        <v>23391</v>
      </c>
      <c r="L21">
        <f t="shared" si="3"/>
        <v>0.26265389876880985</v>
      </c>
      <c r="M21">
        <v>642</v>
      </c>
      <c r="N21">
        <v>833</v>
      </c>
      <c r="O21">
        <f t="shared" si="4"/>
        <v>192</v>
      </c>
      <c r="P21">
        <f t="shared" si="5"/>
        <v>6144</v>
      </c>
      <c r="Q21">
        <f>J21/$P$15-1</f>
        <v>191</v>
      </c>
      <c r="R21">
        <v>47104</v>
      </c>
      <c r="S21">
        <f t="shared" si="6"/>
        <v>59391</v>
      </c>
      <c r="T21">
        <f t="shared" si="7"/>
        <v>12288</v>
      </c>
    </row>
    <row r="22" spans="1:20" x14ac:dyDescent="0.25">
      <c r="B22" t="s">
        <v>42</v>
      </c>
      <c r="C22" t="s">
        <v>43</v>
      </c>
      <c r="D22" t="s">
        <v>49</v>
      </c>
      <c r="E22">
        <v>24225</v>
      </c>
      <c r="F22">
        <v>24480</v>
      </c>
      <c r="G22">
        <v>8184</v>
      </c>
      <c r="H22">
        <v>83</v>
      </c>
      <c r="I22" t="s">
        <v>40</v>
      </c>
      <c r="J22">
        <f t="shared" si="1"/>
        <v>747520</v>
      </c>
      <c r="K22">
        <f t="shared" si="2"/>
        <v>255</v>
      </c>
      <c r="L22">
        <f t="shared" si="3"/>
        <v>2920</v>
      </c>
      <c r="M22">
        <v>834</v>
      </c>
      <c r="N22">
        <v>24193</v>
      </c>
      <c r="O22">
        <f t="shared" si="4"/>
        <v>23360</v>
      </c>
      <c r="P22">
        <f t="shared" si="5"/>
        <v>747520</v>
      </c>
      <c r="Q22">
        <f>J22/$P$15-1</f>
        <v>23359</v>
      </c>
      <c r="R22">
        <v>61440</v>
      </c>
      <c r="S22">
        <f t="shared" si="6"/>
        <v>1556479</v>
      </c>
      <c r="T22">
        <f t="shared" si="7"/>
        <v>1495040</v>
      </c>
    </row>
    <row r="23" spans="1:20" x14ac:dyDescent="0.25">
      <c r="B23" t="s">
        <v>42</v>
      </c>
      <c r="C23" t="s">
        <v>43</v>
      </c>
      <c r="D23" t="s">
        <v>50</v>
      </c>
      <c r="E23">
        <v>24481</v>
      </c>
      <c r="F23">
        <v>57760</v>
      </c>
      <c r="G23">
        <v>1064952</v>
      </c>
      <c r="H23">
        <v>83</v>
      </c>
      <c r="I23" t="s">
        <v>40</v>
      </c>
      <c r="J23">
        <f t="shared" si="1"/>
        <v>8192</v>
      </c>
      <c r="K23">
        <f t="shared" si="2"/>
        <v>33279</v>
      </c>
      <c r="L23">
        <f t="shared" si="3"/>
        <v>0.24615384615384617</v>
      </c>
      <c r="M23">
        <v>24194</v>
      </c>
      <c r="N23">
        <v>24449</v>
      </c>
      <c r="O23">
        <f t="shared" si="4"/>
        <v>256</v>
      </c>
      <c r="P23">
        <f t="shared" si="5"/>
        <v>8192</v>
      </c>
      <c r="Q23">
        <f>J23/$P$15-1</f>
        <v>255</v>
      </c>
      <c r="R23">
        <v>1558528</v>
      </c>
      <c r="S23">
        <f t="shared" si="6"/>
        <v>1574911</v>
      </c>
      <c r="T23">
        <f t="shared" si="7"/>
        <v>16384</v>
      </c>
    </row>
    <row r="24" spans="1:20" x14ac:dyDescent="0.25">
      <c r="B24" t="s">
        <v>42</v>
      </c>
      <c r="C24" t="s">
        <v>43</v>
      </c>
      <c r="D24" t="s">
        <v>51</v>
      </c>
      <c r="E24">
        <v>57761</v>
      </c>
      <c r="F24">
        <v>64160</v>
      </c>
      <c r="G24">
        <v>204792</v>
      </c>
      <c r="H24">
        <v>83</v>
      </c>
      <c r="I24" t="s">
        <v>40</v>
      </c>
      <c r="J24">
        <f t="shared" si="1"/>
        <v>532480</v>
      </c>
      <c r="K24">
        <f t="shared" si="2"/>
        <v>6399</v>
      </c>
      <c r="L24">
        <f t="shared" si="3"/>
        <v>83.2</v>
      </c>
      <c r="M24">
        <v>24450</v>
      </c>
      <c r="N24">
        <v>41089</v>
      </c>
      <c r="O24">
        <f t="shared" si="4"/>
        <v>16640</v>
      </c>
      <c r="P24">
        <f t="shared" si="5"/>
        <v>532480</v>
      </c>
      <c r="Q24">
        <f>J24/$P$15-1</f>
        <v>16639</v>
      </c>
      <c r="R24">
        <v>1576960</v>
      </c>
      <c r="S24">
        <f t="shared" si="6"/>
        <v>2641919</v>
      </c>
      <c r="T24">
        <f t="shared" si="7"/>
        <v>1064960</v>
      </c>
    </row>
    <row r="25" spans="1:20" x14ac:dyDescent="0.25">
      <c r="A25" t="s">
        <v>53</v>
      </c>
      <c r="B25" t="s">
        <v>42</v>
      </c>
      <c r="C25" t="s">
        <v>43</v>
      </c>
      <c r="D25" t="s">
        <v>52</v>
      </c>
      <c r="E25">
        <v>64161</v>
      </c>
      <c r="F25">
        <v>131760</v>
      </c>
      <c r="G25">
        <v>2163192</v>
      </c>
      <c r="H25">
        <v>83</v>
      </c>
      <c r="I25" t="s">
        <v>40</v>
      </c>
      <c r="J25">
        <f t="shared" si="1"/>
        <v>2163200</v>
      </c>
      <c r="K25">
        <f t="shared" si="2"/>
        <v>67599</v>
      </c>
      <c r="L25">
        <f t="shared" si="3"/>
        <v>32</v>
      </c>
      <c r="M25">
        <v>41090</v>
      </c>
      <c r="N25" t="s">
        <v>65</v>
      </c>
      <c r="Q25">
        <f>J25/$P$15-1</f>
        <v>67599</v>
      </c>
      <c r="R25">
        <v>2643968</v>
      </c>
      <c r="S25" t="s">
        <v>65</v>
      </c>
      <c r="T25">
        <f t="shared" si="7"/>
        <v>0</v>
      </c>
    </row>
  </sheetData>
  <phoneticPr fontId="2" type="noConversion"/>
  <hyperlinks>
    <hyperlink ref="B2" r:id="rId1" xr:uid="{2117DF65-4FF7-45AE-BB4F-BABF8174CA29}"/>
    <hyperlink ref="B3" r:id="rId2" xr:uid="{3E22D531-AFAA-44FD-A58D-948F2D5F5A57}"/>
    <hyperlink ref="B4" r:id="rId3" xr:uid="{85C8FF29-7680-41B7-ABB6-4CC343C0A4B1}"/>
    <hyperlink ref="B5" r:id="rId4" xr:uid="{EF9FBCBE-2C88-45FE-A2D2-D954D19EB5B9}"/>
    <hyperlink ref="B6" r:id="rId5" xr:uid="{DD2A09B4-D9E5-4E10-BDE2-1DF2C8C9E292}"/>
    <hyperlink ref="B7" r:id="rId6" xr:uid="{48F76907-F9A1-4F95-B900-12A5E6D84662}"/>
    <hyperlink ref="B8" r:id="rId7" xr:uid="{6F693086-E01B-43B7-8EDF-9F5F5B88866F}"/>
    <hyperlink ref="B9" r:id="rId8" xr:uid="{092D5CE6-337E-4B70-9A10-300D83F3CA38}"/>
    <hyperlink ref="B10" r:id="rId9" xr:uid="{243BDA62-CA17-42BA-A001-23787FFF7C4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Vasiliy Smirnov</dc:creator>
  <cp:lastModifiedBy>Vasiliy Smirnov</cp:lastModifiedBy>
  <dcterms:created xsi:type="dcterms:W3CDTF">2026-05-26T08:32:32Z</dcterms:created>
  <dcterms:modified xsi:type="dcterms:W3CDTF">2026-05-29T12:35:03Z</dcterms:modified>
</cp:coreProperties>
</file>